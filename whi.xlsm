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296A6A55-71EF-3FAC-97E6-161027D9662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uw5due\devel\django\hcpi\"/>
    </mc:Choice>
  </mc:AlternateContent>
  <xr:revisionPtr revIDLastSave="0" documentId="8_{6C4FD945-6089-4AB2-AFEF-2BB0E7A9B819}" xr6:coauthVersionLast="46" xr6:coauthVersionMax="46" xr10:uidLastSave="{00000000-0000-0000-0000-000000000000}"/>
  <bookViews>
    <workbookView xWindow="2730" yWindow="2730" windowWidth="21630" windowHeight="13365" xr2:uid="{00000000-000D-0000-FFFF-FFFF00000000}"/>
  </bookViews>
  <sheets>
    <sheet name="HHS" sheetId="1" r:id="rId1"/>
    <sheet name="S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1" i="2"/>
  <c r="E4" i="1"/>
  <c r="E5" i="1" l="1"/>
  <c r="E6" i="1" l="1"/>
  <c r="E7" i="1"/>
  <c r="E8" i="1"/>
  <c r="E9" i="1"/>
  <c r="E10" i="1"/>
  <c r="E11" i="1"/>
  <c r="E12" i="1"/>
  <c r="E13" i="1"/>
  <c r="E14" i="1"/>
  <c r="E15" i="1"/>
  <c r="E16" i="1" l="1"/>
  <c r="E17" i="1"/>
  <c r="E18" i="1"/>
  <c r="E19" i="1" l="1"/>
  <c r="E20" i="1"/>
  <c r="E21" i="1"/>
  <c r="E22" i="1"/>
  <c r="E41" i="1" l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G24" i="2" l="1"/>
  <c r="G21" i="2"/>
  <c r="G22" i="2"/>
  <c r="G23" i="2"/>
  <c r="G25" i="2"/>
  <c r="G26" i="2"/>
  <c r="G27" i="2"/>
  <c r="G28" i="2"/>
  <c r="G29" i="2" l="1"/>
  <c r="E1" i="1" s="1"/>
</calcChain>
</file>

<file path=xl/sharedStrings.xml><?xml version="1.0" encoding="utf-8"?>
<sst xmlns="http://schemas.openxmlformats.org/spreadsheetml/2006/main" count="7" uniqueCount="7">
  <si>
    <t>Datum</t>
  </si>
  <si>
    <t>Score</t>
  </si>
  <si>
    <t>CR</t>
  </si>
  <si>
    <t>Slope</t>
  </si>
  <si>
    <t>SD</t>
  </si>
  <si>
    <t>Handicap History Sheet</t>
  </si>
  <si>
    <t>HCPI: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</si>
</sst>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0" borderId="0" xfId="0" applyNumberFormat="1" applyBorder="1"/>
    <xf numFmtId="0" fontId="0" fillId="0" borderId="0" xfId="0" applyBorder="1"/>
    <xf numFmtId="164" fontId="0" fillId="0" borderId="0" xfId="0" applyNumberFormat="1" applyBorder="1"/>
    <xf numFmtId="14" fontId="0" fillId="2" borderId="0" xfId="0" applyNumberFormat="1" applyFill="1" applyBorder="1"/>
    <xf numFmtId="0" fontId="0" fillId="2" borderId="0" xfId="0" applyFill="1" applyBorder="1"/>
    <xf numFmtId="164" fontId="0" fillId="2" borderId="0" xfId="0" applyNumberFormat="1" applyFill="1" applyBorder="1"/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right"/>
    </xf>
    <xf numFmtId="0" fontId="1" fillId="3" borderId="1" xfId="0" applyFont="1" applyFill="1" applyBorder="1" applyAlignment="1">
      <alignment horizontal="right" vertical="center"/>
    </xf>
    <xf numFmtId="164" fontId="1" fillId="3" borderId="1" xfId="0" applyNumberFormat="1" applyFont="1" applyFill="1" applyBorder="1" applyAlignment="1">
      <alignment vertical="center"/>
    </xf>
    <xf numFmtId="14" fontId="0" fillId="4" borderId="2" xfId="0" applyNumberFormat="1" applyFont="1" applyFill="1" applyBorder="1"/>
    <xf numFmtId="0" fontId="0" fillId="4" borderId="3" xfId="0" applyFont="1" applyFill="1" applyBorder="1"/>
    <xf numFmtId="14" fontId="0" fillId="0" borderId="2" xfId="0" applyNumberFormat="1" applyFont="1" applyBorder="1"/>
    <xf numFmtId="0" fontId="0" fillId="0" borderId="3" xfId="0" applyFont="1" applyBorder="1"/>
    <xf numFmtId="164" fontId="0" fillId="4" borderId="4" xfId="0" applyNumberFormat="1" applyFont="1" applyFill="1" applyBorder="1"/>
    <xf numFmtId="0" fontId="1" fillId="3" borderId="1" xfId="0" applyFont="1" applyFill="1" applyBorder="1" applyAlignment="1">
      <alignment horizontal="center" vertical="center"/>
    </xf>
  </cellXfs>
  <cellStyles count="1">
    <cellStyle name="Standard" xfId="0" builtinId="0"/>
  </cellStyles>
  <dxfs count="4">
    <dxf>
      <numFmt numFmtId="164" formatCode="0.0"/>
    </dxf>
    <dxf>
      <numFmt numFmtId="19" formatCode="dd/mm/yyyy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28575</xdr:rowOff>
        </xdr:from>
        <xdr:to>
          <xdr:col>7</xdr:col>
          <xdr:colOff>266700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Neues Ergebnis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0</xdr:row>
          <xdr:rowOff>38100</xdr:rowOff>
        </xdr:from>
        <xdr:to>
          <xdr:col>8</xdr:col>
          <xdr:colOff>676275</xdr:colOff>
          <xdr:row>0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HCPI Berechnen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e2" displayName="Tabelle2" ref="A2:E41" totalsRowShown="0" headerRowDxfId="3" tableBorderDxfId="2">
  <autoFilter ref="A2:E4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Datum" dataDxfId="1"/>
    <tableColumn id="2" xr3:uid="{00000000-0010-0000-0000-000002000000}" name="Score"/>
    <tableColumn id="3" xr3:uid="{00000000-0010-0000-0000-000003000000}" name="CR"/>
    <tableColumn id="4" xr3:uid="{00000000-0010-0000-0000-000004000000}" name="Slope"/>
    <tableColumn id="5" xr3:uid="{00000000-0010-0000-0000-000005000000}" name="SD" dataDxfId="0">
      <calculatedColumnFormula>(B3-C3)*113/D3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41"/>
  <sheetViews>
    <sheetView tabSelected="1" zoomScale="130" zoomScaleNormal="130" workbookViewId="0">
      <selection activeCell="F8" sqref="F8"/>
    </sheetView>
  </sheetViews>
  <sheetFormatPr baseColWidth="10" defaultRowHeight="12.75" x14ac:dyDescent="0.2"/>
  <cols>
    <col min="6" max="6" width="7" customWidth="1"/>
    <col min="7" max="7" width="5.42578125" customWidth="1"/>
  </cols>
  <sheetData>
    <row r="1" spans="1:6" ht="27" customHeight="1" x14ac:dyDescent="0.2">
      <c r="A1" s="18" t="s">
        <v>5</v>
      </c>
      <c r="B1" s="18"/>
      <c r="C1" s="18"/>
      <c r="D1" s="11" t="s">
        <v>6</v>
      </c>
      <c r="E1" s="12">
        <f>SR!G29</f>
        <v>12.078136212144587</v>
      </c>
      <c r="F1" s="10"/>
    </row>
    <row r="2" spans="1:6" x14ac:dyDescent="0.2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</row>
    <row r="3" spans="1:6" x14ac:dyDescent="0.2">
      <c r="A3" s="1">
        <v>44521</v>
      </c>
      <c r="B3">
        <v>90</v>
      </c>
      <c r="C3">
        <v>72.3</v>
      </c>
      <c r="D3">
        <v>128</v>
      </c>
      <c r="E3" s="17">
        <f t="shared" ref="E3" si="0">(B3-C3)*113/D3</f>
        <v>15.625781250000003</v>
      </c>
    </row>
    <row r="4" spans="1:6" x14ac:dyDescent="0.2">
      <c r="A4" s="1">
        <v>44506</v>
      </c>
      <c r="B4">
        <v>84</v>
      </c>
      <c r="C4">
        <v>69.3</v>
      </c>
      <c r="D4">
        <v>122</v>
      </c>
      <c r="E4" s="17">
        <f t="shared" ref="E4" si="1">(B4-C4)*113/D4</f>
        <v>13.615573770491807</v>
      </c>
    </row>
    <row r="5" spans="1:6" x14ac:dyDescent="0.2">
      <c r="A5" s="1">
        <v>44458</v>
      </c>
      <c r="B5">
        <v>89</v>
      </c>
      <c r="C5">
        <v>71.900000000000006</v>
      </c>
      <c r="D5">
        <v>135</v>
      </c>
      <c r="E5" s="17">
        <f t="shared" ref="E5" si="2">(B5-C5)*113/D5</f>
        <v>14.313333333333327</v>
      </c>
    </row>
    <row r="6" spans="1:6" x14ac:dyDescent="0.2">
      <c r="A6" s="1">
        <v>44451</v>
      </c>
      <c r="B6">
        <v>91</v>
      </c>
      <c r="C6">
        <v>72.7</v>
      </c>
      <c r="D6">
        <v>136</v>
      </c>
      <c r="E6" s="17">
        <f t="shared" ref="E6" si="3">(B6-C6)*113/D6</f>
        <v>15.205147058823528</v>
      </c>
    </row>
    <row r="7" spans="1:6" x14ac:dyDescent="0.2">
      <c r="A7" s="1">
        <v>44444</v>
      </c>
      <c r="B7">
        <v>78</v>
      </c>
      <c r="C7">
        <v>61.6</v>
      </c>
      <c r="D7">
        <v>111</v>
      </c>
      <c r="E7" s="17">
        <f t="shared" ref="E7" si="4">(B7-C7)*113/D7</f>
        <v>16.695495495495493</v>
      </c>
    </row>
    <row r="8" spans="1:6" x14ac:dyDescent="0.2">
      <c r="A8" s="1">
        <v>44443</v>
      </c>
      <c r="B8">
        <v>89</v>
      </c>
      <c r="C8">
        <v>71.900000000000006</v>
      </c>
      <c r="D8">
        <v>135</v>
      </c>
      <c r="E8" s="17">
        <f t="shared" ref="E8" si="5">(B8-C8)*113/D8</f>
        <v>14.313333333333327</v>
      </c>
    </row>
    <row r="9" spans="1:6" x14ac:dyDescent="0.2">
      <c r="A9" s="1">
        <v>44441</v>
      </c>
      <c r="B9">
        <v>92</v>
      </c>
      <c r="C9">
        <v>71.900000000000006</v>
      </c>
      <c r="D9">
        <v>135</v>
      </c>
      <c r="E9" s="17">
        <f t="shared" ref="E9" si="6">(B9-C9)*113/D9</f>
        <v>16.824444444444438</v>
      </c>
    </row>
    <row r="10" spans="1:6" x14ac:dyDescent="0.2">
      <c r="A10" s="1">
        <v>44440</v>
      </c>
      <c r="B10">
        <v>86</v>
      </c>
      <c r="C10">
        <v>71.900000000000006</v>
      </c>
      <c r="D10">
        <v>135</v>
      </c>
      <c r="E10" s="17">
        <f t="shared" ref="E10" si="7">(B10-C10)*113/D10</f>
        <v>11.802222222222216</v>
      </c>
    </row>
    <row r="11" spans="1:6" x14ac:dyDescent="0.2">
      <c r="A11" s="1">
        <v>44437</v>
      </c>
      <c r="B11">
        <v>87</v>
      </c>
      <c r="C11">
        <v>71.099999999999994</v>
      </c>
      <c r="D11">
        <v>121</v>
      </c>
      <c r="E11" s="17">
        <f t="shared" ref="E11" si="8">(B11-C11)*113/D11</f>
        <v>14.848760330578518</v>
      </c>
    </row>
    <row r="12" spans="1:6" x14ac:dyDescent="0.2">
      <c r="A12" s="1">
        <v>44436</v>
      </c>
      <c r="B12">
        <v>91</v>
      </c>
      <c r="C12">
        <v>72.099999999999994</v>
      </c>
      <c r="D12">
        <v>135</v>
      </c>
      <c r="E12" s="17">
        <f t="shared" ref="E12" si="9">(B12-C12)*113/D12</f>
        <v>15.820000000000006</v>
      </c>
    </row>
    <row r="13" spans="1:6" x14ac:dyDescent="0.2">
      <c r="A13" s="1">
        <v>44434</v>
      </c>
      <c r="B13">
        <v>92</v>
      </c>
      <c r="C13">
        <v>71.900000000000006</v>
      </c>
      <c r="D13">
        <v>135</v>
      </c>
      <c r="E13" s="17">
        <f t="shared" ref="E13" si="10">(B13-C13)*113/D13</f>
        <v>16.824444444444438</v>
      </c>
    </row>
    <row r="14" spans="1:6" x14ac:dyDescent="0.2">
      <c r="A14" s="1">
        <v>44433</v>
      </c>
      <c r="B14">
        <v>86</v>
      </c>
      <c r="C14">
        <v>71.900000000000006</v>
      </c>
      <c r="D14">
        <v>135</v>
      </c>
      <c r="E14" s="17">
        <f t="shared" ref="E14" si="11">(B14-C14)*113/D14</f>
        <v>11.802222222222216</v>
      </c>
    </row>
    <row r="15" spans="1:6" x14ac:dyDescent="0.2">
      <c r="A15" s="1">
        <v>44423</v>
      </c>
      <c r="B15">
        <v>71</v>
      </c>
      <c r="C15">
        <v>61.6</v>
      </c>
      <c r="D15">
        <v>111</v>
      </c>
      <c r="E15" s="17">
        <f t="shared" ref="E15" si="12">(B15-C15)*113/D15</f>
        <v>9.5693693693693671</v>
      </c>
    </row>
    <row r="16" spans="1:6" x14ac:dyDescent="0.2">
      <c r="A16" s="1">
        <v>44416</v>
      </c>
      <c r="B16">
        <v>92</v>
      </c>
      <c r="C16">
        <v>71.099999999999994</v>
      </c>
      <c r="D16">
        <v>121</v>
      </c>
      <c r="E16" s="17">
        <f t="shared" ref="E16" si="13">(B16-C16)*113/D16</f>
        <v>19.518181818181823</v>
      </c>
    </row>
    <row r="17" spans="1:5" x14ac:dyDescent="0.2">
      <c r="A17" s="1">
        <v>44415</v>
      </c>
      <c r="B17">
        <v>94</v>
      </c>
      <c r="C17">
        <v>71.900000000000006</v>
      </c>
      <c r="D17">
        <v>135</v>
      </c>
      <c r="E17" s="17">
        <f t="shared" ref="E17" si="14">(B17-C17)*113/D17</f>
        <v>18.498518518518512</v>
      </c>
    </row>
    <row r="18" spans="1:5" x14ac:dyDescent="0.2">
      <c r="A18" s="1">
        <v>44402</v>
      </c>
      <c r="B18">
        <v>83</v>
      </c>
      <c r="C18">
        <v>71.7</v>
      </c>
      <c r="D18">
        <v>125</v>
      </c>
      <c r="E18" s="17">
        <f t="shared" ref="E18" si="15">(B18-C18)*113/D18</f>
        <v>10.215199999999998</v>
      </c>
    </row>
    <row r="19" spans="1:5" x14ac:dyDescent="0.2">
      <c r="A19" s="1">
        <v>44373</v>
      </c>
      <c r="B19">
        <v>90</v>
      </c>
      <c r="C19">
        <v>74.400000000000006</v>
      </c>
      <c r="D19">
        <v>149</v>
      </c>
      <c r="E19" s="17">
        <f t="shared" ref="E19" si="16">(B19-C19)*113/D19</f>
        <v>11.830872483221471</v>
      </c>
    </row>
    <row r="20" spans="1:5" x14ac:dyDescent="0.2">
      <c r="A20" s="1">
        <v>44359</v>
      </c>
      <c r="B20">
        <v>89</v>
      </c>
      <c r="C20">
        <v>71.900000000000006</v>
      </c>
      <c r="D20">
        <v>135</v>
      </c>
      <c r="E20" s="17">
        <f t="shared" ref="E20" si="17">(B20-C20)*113/D20</f>
        <v>14.313333333333327</v>
      </c>
    </row>
    <row r="21" spans="1:5" x14ac:dyDescent="0.2">
      <c r="A21" s="1">
        <v>44311</v>
      </c>
      <c r="B21">
        <v>88</v>
      </c>
      <c r="C21">
        <v>71.900000000000006</v>
      </c>
      <c r="D21">
        <v>135</v>
      </c>
      <c r="E21" s="17">
        <f t="shared" ref="E21" si="18">(B21-C21)*113/D21</f>
        <v>13.47629629629629</v>
      </c>
    </row>
    <row r="22" spans="1:5" x14ac:dyDescent="0.2">
      <c r="A22" s="1">
        <v>44121</v>
      </c>
      <c r="B22">
        <v>86</v>
      </c>
      <c r="C22">
        <v>69.900000000000006</v>
      </c>
      <c r="D22">
        <v>125</v>
      </c>
      <c r="E22" s="17">
        <f t="shared" ref="E22" si="19">(B22-C22)*113/D22</f>
        <v>14.554399999999994</v>
      </c>
    </row>
    <row r="23" spans="1:5" x14ac:dyDescent="0.2">
      <c r="A23" s="1">
        <v>44115</v>
      </c>
      <c r="B23">
        <v>83</v>
      </c>
      <c r="C23">
        <v>71.8</v>
      </c>
      <c r="D23">
        <v>135</v>
      </c>
      <c r="E23" s="2">
        <f t="shared" ref="E23:E41" si="20">(B23-C23)*113/D23</f>
        <v>9.3748148148148172</v>
      </c>
    </row>
    <row r="24" spans="1:5" x14ac:dyDescent="0.2">
      <c r="A24" s="1">
        <v>44112</v>
      </c>
      <c r="B24">
        <v>85</v>
      </c>
      <c r="C24">
        <v>71.8</v>
      </c>
      <c r="D24">
        <v>135</v>
      </c>
      <c r="E24" s="2">
        <f t="shared" si="20"/>
        <v>11.048888888888891</v>
      </c>
    </row>
    <row r="25" spans="1:5" x14ac:dyDescent="0.2">
      <c r="A25" s="1">
        <v>44101</v>
      </c>
      <c r="B25">
        <v>77</v>
      </c>
      <c r="C25">
        <v>61.7</v>
      </c>
      <c r="D25">
        <v>111</v>
      </c>
      <c r="E25" s="2">
        <f t="shared" si="20"/>
        <v>15.575675675675672</v>
      </c>
    </row>
    <row r="26" spans="1:5" x14ac:dyDescent="0.2">
      <c r="A26" s="1">
        <v>44094</v>
      </c>
      <c r="B26">
        <v>85</v>
      </c>
      <c r="C26">
        <v>71.8</v>
      </c>
      <c r="D26">
        <v>135</v>
      </c>
      <c r="E26" s="2">
        <f t="shared" si="20"/>
        <v>11.048888888888891</v>
      </c>
    </row>
    <row r="27" spans="1:5" x14ac:dyDescent="0.2">
      <c r="A27" s="1">
        <v>44079</v>
      </c>
      <c r="B27">
        <v>94</v>
      </c>
      <c r="C27">
        <v>71.8</v>
      </c>
      <c r="D27">
        <v>135</v>
      </c>
      <c r="E27" s="2">
        <f t="shared" si="20"/>
        <v>18.582222222222224</v>
      </c>
    </row>
    <row r="28" spans="1:5" x14ac:dyDescent="0.2">
      <c r="A28" s="1">
        <v>44063</v>
      </c>
      <c r="B28">
        <v>68</v>
      </c>
      <c r="C28">
        <v>61.6</v>
      </c>
      <c r="D28">
        <v>111</v>
      </c>
      <c r="E28" s="2">
        <f t="shared" si="20"/>
        <v>6.5153153153153136</v>
      </c>
    </row>
    <row r="29" spans="1:5" x14ac:dyDescent="0.2">
      <c r="A29" s="1">
        <v>44059</v>
      </c>
      <c r="B29">
        <v>88</v>
      </c>
      <c r="C29">
        <v>71.900000000000006</v>
      </c>
      <c r="D29">
        <v>128</v>
      </c>
      <c r="E29" s="2">
        <f t="shared" si="20"/>
        <v>14.213281249999994</v>
      </c>
    </row>
    <row r="30" spans="1:5" x14ac:dyDescent="0.2">
      <c r="A30" s="1">
        <v>44056</v>
      </c>
      <c r="B30">
        <v>81</v>
      </c>
      <c r="C30">
        <v>71.8</v>
      </c>
      <c r="D30">
        <v>135</v>
      </c>
      <c r="E30" s="2">
        <f t="shared" si="20"/>
        <v>7.7007407407407431</v>
      </c>
    </row>
    <row r="31" spans="1:5" x14ac:dyDescent="0.2">
      <c r="A31" s="1">
        <v>44051</v>
      </c>
      <c r="B31">
        <v>91</v>
      </c>
      <c r="C31">
        <v>72.900000000000006</v>
      </c>
      <c r="D31">
        <v>135</v>
      </c>
      <c r="E31" s="2">
        <f t="shared" si="20"/>
        <v>15.150370370370364</v>
      </c>
    </row>
    <row r="32" spans="1:5" x14ac:dyDescent="0.2">
      <c r="A32" s="1">
        <v>44045</v>
      </c>
      <c r="B32">
        <v>84</v>
      </c>
      <c r="C32">
        <v>70.099999999999994</v>
      </c>
      <c r="D32">
        <v>122</v>
      </c>
      <c r="E32" s="2">
        <f t="shared" si="20"/>
        <v>12.874590163934432</v>
      </c>
    </row>
    <row r="33" spans="1:5" x14ac:dyDescent="0.2">
      <c r="A33" s="1">
        <v>44038</v>
      </c>
      <c r="B33">
        <v>87</v>
      </c>
      <c r="C33">
        <v>71.8</v>
      </c>
      <c r="D33">
        <v>135</v>
      </c>
      <c r="E33" s="2">
        <f t="shared" si="20"/>
        <v>12.722962962962965</v>
      </c>
    </row>
    <row r="34" spans="1:5" x14ac:dyDescent="0.2">
      <c r="A34" s="1">
        <v>44034</v>
      </c>
      <c r="B34">
        <v>89</v>
      </c>
      <c r="C34">
        <v>71.8</v>
      </c>
      <c r="D34">
        <v>135</v>
      </c>
      <c r="E34" s="2">
        <f t="shared" si="20"/>
        <v>14.397037037037039</v>
      </c>
    </row>
    <row r="35" spans="1:5" x14ac:dyDescent="0.2">
      <c r="A35" s="1">
        <v>44031</v>
      </c>
      <c r="B35">
        <v>94</v>
      </c>
      <c r="C35">
        <v>72.900000000000006</v>
      </c>
      <c r="D35">
        <v>135</v>
      </c>
      <c r="E35" s="2">
        <f t="shared" si="20"/>
        <v>17.661481481481477</v>
      </c>
    </row>
    <row r="36" spans="1:5" x14ac:dyDescent="0.2">
      <c r="A36" s="1">
        <v>44027</v>
      </c>
      <c r="B36">
        <v>71</v>
      </c>
      <c r="C36">
        <v>61.6</v>
      </c>
      <c r="D36">
        <v>111</v>
      </c>
      <c r="E36" s="2">
        <f t="shared" si="20"/>
        <v>9.5693693693693671</v>
      </c>
    </row>
    <row r="37" spans="1:5" x14ac:dyDescent="0.2">
      <c r="A37" s="3">
        <v>44016</v>
      </c>
      <c r="B37" s="4">
        <v>94</v>
      </c>
      <c r="C37" s="4">
        <v>71.8</v>
      </c>
      <c r="D37" s="4">
        <v>135</v>
      </c>
      <c r="E37" s="5">
        <f t="shared" si="20"/>
        <v>18.582222222222224</v>
      </c>
    </row>
    <row r="38" spans="1:5" x14ac:dyDescent="0.2">
      <c r="A38" s="6">
        <v>44010</v>
      </c>
      <c r="B38" s="7">
        <v>70</v>
      </c>
      <c r="C38" s="7">
        <v>61.6</v>
      </c>
      <c r="D38" s="7">
        <v>111</v>
      </c>
      <c r="E38" s="8">
        <f t="shared" si="20"/>
        <v>8.5513513513513502</v>
      </c>
    </row>
    <row r="39" spans="1:5" x14ac:dyDescent="0.2">
      <c r="A39" s="3">
        <v>44009</v>
      </c>
      <c r="B39" s="4">
        <v>95</v>
      </c>
      <c r="C39" s="4">
        <v>71.8</v>
      </c>
      <c r="D39" s="4">
        <v>135</v>
      </c>
      <c r="E39" s="5">
        <f t="shared" si="20"/>
        <v>19.419259259259263</v>
      </c>
    </row>
    <row r="40" spans="1:5" x14ac:dyDescent="0.2">
      <c r="A40" s="3">
        <v>44003</v>
      </c>
      <c r="B40" s="4">
        <v>93</v>
      </c>
      <c r="C40" s="4">
        <v>72.5</v>
      </c>
      <c r="D40" s="4">
        <v>135</v>
      </c>
      <c r="E40" s="5">
        <f t="shared" si="20"/>
        <v>17.159259259259258</v>
      </c>
    </row>
    <row r="41" spans="1:5" x14ac:dyDescent="0.2">
      <c r="A41" s="3">
        <v>44001</v>
      </c>
      <c r="B41" s="4">
        <v>80</v>
      </c>
      <c r="C41" s="4">
        <v>61.7</v>
      </c>
      <c r="D41" s="4">
        <v>111</v>
      </c>
      <c r="E41" s="5">
        <f t="shared" si="20"/>
        <v>18.629729729729725</v>
      </c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uesErgebnis">
                <anchor mov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7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KopierenUndBerechnen">
                <anchor moveWithCells="1">
                  <from>
                    <xdr:col>7</xdr:col>
                    <xdr:colOff>342900</xdr:colOff>
                    <xdr:row>0</xdr:row>
                    <xdr:rowOff>38100</xdr:rowOff>
                  </from>
                  <to>
                    <xdr:col>8</xdr:col>
                    <xdr:colOff>676275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G29"/>
  <sheetViews>
    <sheetView zoomScale="130" zoomScaleNormal="130" workbookViewId="0">
      <selection activeCell="E1" sqref="E1"/>
    </sheetView>
  </sheetViews>
  <sheetFormatPr baseColWidth="10" defaultRowHeight="12.75" x14ac:dyDescent="0.2"/>
  <sheetData>
    <row r="1" spans="1:5" x14ac:dyDescent="0.2">
      <c r="A1" s="13">
        <v>44521</v>
      </c>
      <c r="B1" s="14">
        <v>90</v>
      </c>
      <c r="C1" s="14">
        <v>72.3</v>
      </c>
      <c r="D1" s="14">
        <v>128</v>
      </c>
      <c r="E1" s="17">
        <f t="shared" ref="E1:E20" si="0">(B1-C1)*113/D1</f>
        <v>15.625781250000003</v>
      </c>
    </row>
    <row r="2" spans="1:5" x14ac:dyDescent="0.2">
      <c r="A2" s="15">
        <v>44506</v>
      </c>
      <c r="B2" s="16">
        <v>84</v>
      </c>
      <c r="C2" s="16">
        <v>69.3</v>
      </c>
      <c r="D2" s="16">
        <v>122</v>
      </c>
      <c r="E2" s="17">
        <f t="shared" si="0"/>
        <v>13.615573770491807</v>
      </c>
    </row>
    <row r="3" spans="1:5" x14ac:dyDescent="0.2">
      <c r="A3" s="13">
        <v>44458</v>
      </c>
      <c r="B3" s="14">
        <v>89</v>
      </c>
      <c r="C3" s="14">
        <v>71.900000000000006</v>
      </c>
      <c r="D3" s="14">
        <v>135</v>
      </c>
      <c r="E3" s="17">
        <f t="shared" si="0"/>
        <v>14.313333333333327</v>
      </c>
    </row>
    <row r="4" spans="1:5" x14ac:dyDescent="0.2">
      <c r="A4" s="15">
        <v>44451</v>
      </c>
      <c r="B4" s="16">
        <v>91</v>
      </c>
      <c r="C4" s="16">
        <v>72.7</v>
      </c>
      <c r="D4" s="16">
        <v>136</v>
      </c>
      <c r="E4" s="17">
        <f t="shared" si="0"/>
        <v>15.205147058823528</v>
      </c>
    </row>
    <row r="5" spans="1:5" x14ac:dyDescent="0.2">
      <c r="A5" s="13">
        <v>44444</v>
      </c>
      <c r="B5" s="14">
        <v>78</v>
      </c>
      <c r="C5" s="14">
        <v>61.6</v>
      </c>
      <c r="D5" s="14">
        <v>111</v>
      </c>
      <c r="E5" s="17">
        <f t="shared" si="0"/>
        <v>16.695495495495493</v>
      </c>
    </row>
    <row r="6" spans="1:5" x14ac:dyDescent="0.2">
      <c r="A6" s="15">
        <v>44443</v>
      </c>
      <c r="B6" s="16">
        <v>89</v>
      </c>
      <c r="C6" s="16">
        <v>71.900000000000006</v>
      </c>
      <c r="D6" s="16">
        <v>135</v>
      </c>
      <c r="E6" s="17">
        <f t="shared" si="0"/>
        <v>14.313333333333327</v>
      </c>
    </row>
    <row r="7" spans="1:5" x14ac:dyDescent="0.2">
      <c r="A7" s="13">
        <v>44441</v>
      </c>
      <c r="B7" s="14">
        <v>92</v>
      </c>
      <c r="C7" s="14">
        <v>71.900000000000006</v>
      </c>
      <c r="D7" s="14">
        <v>135</v>
      </c>
      <c r="E7" s="17">
        <f t="shared" si="0"/>
        <v>16.824444444444438</v>
      </c>
    </row>
    <row r="8" spans="1:5" x14ac:dyDescent="0.2">
      <c r="A8" s="15">
        <v>44440</v>
      </c>
      <c r="B8" s="16">
        <v>86</v>
      </c>
      <c r="C8" s="16">
        <v>71.900000000000006</v>
      </c>
      <c r="D8" s="16">
        <v>135</v>
      </c>
      <c r="E8" s="17">
        <f t="shared" si="0"/>
        <v>11.802222222222216</v>
      </c>
    </row>
    <row r="9" spans="1:5" x14ac:dyDescent="0.2">
      <c r="A9" s="13">
        <v>44437</v>
      </c>
      <c r="B9" s="14">
        <v>87</v>
      </c>
      <c r="C9" s="14">
        <v>71.099999999999994</v>
      </c>
      <c r="D9" s="14">
        <v>121</v>
      </c>
      <c r="E9" s="17">
        <f t="shared" si="0"/>
        <v>14.848760330578518</v>
      </c>
    </row>
    <row r="10" spans="1:5" x14ac:dyDescent="0.2">
      <c r="A10" s="15">
        <v>44436</v>
      </c>
      <c r="B10" s="16">
        <v>91</v>
      </c>
      <c r="C10" s="16">
        <v>72.099999999999994</v>
      </c>
      <c r="D10" s="16">
        <v>135</v>
      </c>
      <c r="E10" s="17">
        <f t="shared" si="0"/>
        <v>15.820000000000006</v>
      </c>
    </row>
    <row r="11" spans="1:5" x14ac:dyDescent="0.2">
      <c r="A11" s="13">
        <v>44434</v>
      </c>
      <c r="B11" s="14">
        <v>92</v>
      </c>
      <c r="C11" s="14">
        <v>71.900000000000006</v>
      </c>
      <c r="D11" s="14">
        <v>135</v>
      </c>
      <c r="E11" s="17">
        <f t="shared" si="0"/>
        <v>16.824444444444438</v>
      </c>
    </row>
    <row r="12" spans="1:5" x14ac:dyDescent="0.2">
      <c r="A12" s="15">
        <v>44433</v>
      </c>
      <c r="B12" s="16">
        <v>86</v>
      </c>
      <c r="C12" s="16">
        <v>71.900000000000006</v>
      </c>
      <c r="D12" s="16">
        <v>135</v>
      </c>
      <c r="E12" s="17">
        <f t="shared" si="0"/>
        <v>11.802222222222216</v>
      </c>
    </row>
    <row r="13" spans="1:5" x14ac:dyDescent="0.2">
      <c r="A13" s="13">
        <v>44423</v>
      </c>
      <c r="B13" s="14">
        <v>71</v>
      </c>
      <c r="C13" s="14">
        <v>61.6</v>
      </c>
      <c r="D13" s="14">
        <v>111</v>
      </c>
      <c r="E13" s="17">
        <f t="shared" si="0"/>
        <v>9.5693693693693671</v>
      </c>
    </row>
    <row r="14" spans="1:5" x14ac:dyDescent="0.2">
      <c r="A14" s="15">
        <v>44416</v>
      </c>
      <c r="B14" s="16">
        <v>92</v>
      </c>
      <c r="C14" s="16">
        <v>71.099999999999994</v>
      </c>
      <c r="D14" s="16">
        <v>121</v>
      </c>
      <c r="E14" s="17">
        <f t="shared" si="0"/>
        <v>19.518181818181823</v>
      </c>
    </row>
    <row r="15" spans="1:5" x14ac:dyDescent="0.2">
      <c r="A15" s="13">
        <v>44415</v>
      </c>
      <c r="B15" s="14">
        <v>94</v>
      </c>
      <c r="C15" s="14">
        <v>71.900000000000006</v>
      </c>
      <c r="D15" s="14">
        <v>135</v>
      </c>
      <c r="E15" s="17">
        <f t="shared" si="0"/>
        <v>18.498518518518512</v>
      </c>
    </row>
    <row r="16" spans="1:5" x14ac:dyDescent="0.2">
      <c r="A16" s="15">
        <v>44402</v>
      </c>
      <c r="B16" s="16">
        <v>83</v>
      </c>
      <c r="C16" s="16">
        <v>71.7</v>
      </c>
      <c r="D16" s="16">
        <v>125</v>
      </c>
      <c r="E16" s="17">
        <f t="shared" si="0"/>
        <v>10.215199999999998</v>
      </c>
    </row>
    <row r="17" spans="1:7" x14ac:dyDescent="0.2">
      <c r="A17" s="13">
        <v>44373</v>
      </c>
      <c r="B17" s="14">
        <v>90</v>
      </c>
      <c r="C17" s="14">
        <v>74.400000000000006</v>
      </c>
      <c r="D17" s="14">
        <v>149</v>
      </c>
      <c r="E17" s="17">
        <f t="shared" si="0"/>
        <v>11.830872483221471</v>
      </c>
    </row>
    <row r="18" spans="1:7" x14ac:dyDescent="0.2">
      <c r="A18" s="15">
        <v>44359</v>
      </c>
      <c r="B18" s="16">
        <v>89</v>
      </c>
      <c r="C18" s="16">
        <v>71.900000000000006</v>
      </c>
      <c r="D18" s="16">
        <v>135</v>
      </c>
      <c r="E18" s="17">
        <f t="shared" si="0"/>
        <v>14.313333333333327</v>
      </c>
    </row>
    <row r="19" spans="1:7" x14ac:dyDescent="0.2">
      <c r="A19" s="13">
        <v>44311</v>
      </c>
      <c r="B19" s="14">
        <v>88</v>
      </c>
      <c r="C19" s="14">
        <v>71.900000000000006</v>
      </c>
      <c r="D19" s="14">
        <v>135</v>
      </c>
      <c r="E19" s="17">
        <f t="shared" si="0"/>
        <v>13.47629629629629</v>
      </c>
    </row>
    <row r="20" spans="1:7" x14ac:dyDescent="0.2">
      <c r="A20" s="15">
        <v>44121</v>
      </c>
      <c r="B20" s="16">
        <v>86</v>
      </c>
      <c r="C20" s="16">
        <v>69.900000000000006</v>
      </c>
      <c r="D20" s="16">
        <v>125</v>
      </c>
      <c r="E20" s="17">
        <f t="shared" si="0"/>
        <v>14.554399999999994</v>
      </c>
    </row>
    <row r="21" spans="1:7" x14ac:dyDescent="0.2">
      <c r="F21">
        <v>1</v>
      </c>
      <c r="G21" s="2">
        <f>SMALL($E$1:$E$20,F21)</f>
        <v>9.5693693693693671</v>
      </c>
    </row>
    <row r="22" spans="1:7" x14ac:dyDescent="0.2">
      <c r="F22">
        <v>2</v>
      </c>
      <c r="G22" s="2">
        <f t="shared" ref="G22:G28" si="1">SMALL($E$1:$E$20,F22)</f>
        <v>10.215199999999998</v>
      </c>
    </row>
    <row r="23" spans="1:7" x14ac:dyDescent="0.2">
      <c r="F23">
        <v>3</v>
      </c>
      <c r="G23" s="2">
        <f t="shared" si="1"/>
        <v>11.802222222222216</v>
      </c>
    </row>
    <row r="24" spans="1:7" x14ac:dyDescent="0.2">
      <c r="F24">
        <v>4</v>
      </c>
      <c r="G24" s="2">
        <f t="shared" si="1"/>
        <v>11.802222222222216</v>
      </c>
    </row>
    <row r="25" spans="1:7" x14ac:dyDescent="0.2">
      <c r="F25">
        <v>5</v>
      </c>
      <c r="G25" s="2">
        <f t="shared" si="1"/>
        <v>11.830872483221471</v>
      </c>
    </row>
    <row r="26" spans="1:7" x14ac:dyDescent="0.2">
      <c r="F26">
        <v>6</v>
      </c>
      <c r="G26" s="2">
        <f t="shared" si="1"/>
        <v>13.47629629629629</v>
      </c>
    </row>
    <row r="27" spans="1:7" x14ac:dyDescent="0.2">
      <c r="F27">
        <v>7</v>
      </c>
      <c r="G27" s="2">
        <f t="shared" si="1"/>
        <v>13.615573770491807</v>
      </c>
    </row>
    <row r="28" spans="1:7" x14ac:dyDescent="0.2">
      <c r="F28">
        <v>8</v>
      </c>
      <c r="G28" s="2">
        <f t="shared" si="1"/>
        <v>14.313333333333327</v>
      </c>
    </row>
    <row r="29" spans="1:7" x14ac:dyDescent="0.2">
      <c r="G29" s="2">
        <f>SUM(G21:G28)/8</f>
        <v>12.078136212144587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HHS</vt:lpstr>
      <vt:lpstr>SR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Mueller Wolfgang (BT-IE/BSV-BX)</dc:creator>
  <cp:lastModifiedBy>Mueller Wolfgang (BT-IE/BSV-BX)</cp:lastModifiedBy>
  <dcterms:created xsi:type="dcterms:W3CDTF">2021-01-04T10:28:47Z</dcterms:created>
  <dcterms:modified xsi:type="dcterms:W3CDTF">2021-11-25T09:37:46Z</dcterms:modified>
</cp:coreProperties>
</file>